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lobalvale-my.sharepoint.com/personal/sara_barbosa_oliveira_vale_com/Documents/VALE/1. Gerenciamento de Projetos/2. A3 Hoshin - Estruturação da Fiscalização/"/>
    </mc:Choice>
  </mc:AlternateContent>
  <xr:revisionPtr revIDLastSave="23" documentId="8_{DDF17D20-B414-463B-9096-BABE8DCD257F}" xr6:coauthVersionLast="47" xr6:coauthVersionMax="47" xr10:uidLastSave="{F4BCCB7C-36DD-43D0-BE9D-CC64E0E86E70}"/>
  <workbookProtection workbookAlgorithmName="SHA-512" workbookHashValue="Htdw0+mb8QmpOqht4NoERsCZuXAyDZ04ZYU9sm+CYPDnuQd4QdZvxIkc/pBtZo0Q5tYrQ9I0GtyT29gRAomQ/w==" workbookSaltValue="8MyaQ38Ng0SRtzZUhSrg5A==" workbookSpinCount="100000" lockStructure="1"/>
  <bookViews>
    <workbookView xWindow="-110" yWindow="-110" windowWidth="19420" windowHeight="10300" tabRatio="500" xr2:uid="{00000000-000D-0000-FFFF-FFFF00000000}"/>
  </bookViews>
  <sheets>
    <sheet name="Matriz de Treinamentos" sheetId="1" r:id="rId1"/>
    <sheet name="Listas" sheetId="2" state="hidden" r:id="rId2"/>
    <sheet name="Resumo" sheetId="3" r:id="rId3"/>
  </sheets>
  <definedNames>
    <definedName name="_xlnm._FilterDatabase" localSheetId="0" hidden="1">'Matriz de Treinamentos'!$A$4:$BH$18</definedName>
    <definedName name="_xlnm._FilterDatabase" localSheetId="2" hidden="1">Resumo!$A$3:$E$23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18" i="1"/>
  <c r="B4" i="3"/>
  <c r="D4" i="3"/>
  <c r="B5" i="3"/>
  <c r="D5" i="3"/>
  <c r="B6" i="3"/>
  <c r="D6" i="3"/>
  <c r="B7" i="3"/>
  <c r="D7" i="3"/>
  <c r="B8" i="3"/>
  <c r="D8" i="3"/>
  <c r="B9" i="3"/>
  <c r="D9" i="3"/>
  <c r="B10" i="3"/>
  <c r="D10" i="3"/>
  <c r="B11" i="3"/>
  <c r="D11" i="3"/>
  <c r="B12" i="3"/>
  <c r="D12" i="3"/>
  <c r="B13" i="3"/>
  <c r="D13" i="3"/>
  <c r="B14" i="3"/>
  <c r="D14" i="3"/>
  <c r="B15" i="3"/>
  <c r="D15" i="3"/>
  <c r="B16" i="3"/>
  <c r="D16" i="3"/>
  <c r="B17" i="3"/>
  <c r="D17" i="3"/>
  <c r="B18" i="3"/>
  <c r="D18" i="3"/>
  <c r="B19" i="3"/>
  <c r="D19" i="3"/>
  <c r="B20" i="3"/>
  <c r="D20" i="3"/>
  <c r="B21" i="3"/>
  <c r="D21" i="3"/>
  <c r="B22" i="3"/>
  <c r="D22" i="3"/>
  <c r="B23" i="3"/>
  <c r="D2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BE5" i="1"/>
  <c r="BG5" i="1"/>
  <c r="BE8" i="1"/>
  <c r="BG8" i="1"/>
  <c r="BE9" i="1"/>
  <c r="BG9" i="1"/>
  <c r="BE13" i="1"/>
  <c r="BG13" i="1"/>
  <c r="BE14" i="1"/>
  <c r="BG14" i="1"/>
  <c r="BE15" i="1"/>
  <c r="BG15" i="1"/>
  <c r="BE17" i="1"/>
  <c r="BG17" i="1"/>
  <c r="BF5" i="1"/>
  <c r="BF8" i="1"/>
  <c r="BF9" i="1"/>
  <c r="BF13" i="1"/>
  <c r="BF14" i="1"/>
  <c r="BF15" i="1"/>
  <c r="BF17" i="1"/>
  <c r="E19" i="3" l="1"/>
  <c r="E16" i="3"/>
  <c r="E11" i="3"/>
  <c r="E6" i="3"/>
  <c r="BH17" i="1"/>
  <c r="BH9" i="1"/>
  <c r="E7" i="3"/>
  <c r="BH14" i="1"/>
  <c r="E18" i="3"/>
  <c r="E21" i="3"/>
  <c r="E10" i="3"/>
  <c r="BH5" i="1"/>
  <c r="E20" i="3"/>
  <c r="E17" i="3"/>
  <c r="E13" i="3"/>
  <c r="E12" i="3"/>
  <c r="E8" i="3"/>
  <c r="BH15" i="1"/>
  <c r="E9" i="3"/>
  <c r="BH13" i="1"/>
  <c r="E23" i="3"/>
  <c r="E22" i="3"/>
  <c r="E15" i="3"/>
  <c r="BH8" i="1"/>
  <c r="E4" i="3"/>
  <c r="E14" i="3"/>
  <c r="D24" i="3"/>
  <c r="C24" i="3"/>
  <c r="B24" i="3"/>
  <c r="E5" i="3"/>
  <c r="BH18" i="1" l="1"/>
  <c r="E2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000-000001000000}">
      <text>
        <r>
          <rPr>
            <sz val="10"/>
            <rFont val="Arial"/>
            <family val="2"/>
          </rPr>
          <t>Edite livremente os títulos desta linha para inserir os treinamentos da sua matriz. As colunas 16 a 20 estão em branco para preenchimento.</t>
        </r>
      </text>
    </comment>
  </commentList>
</comments>
</file>

<file path=xl/sharedStrings.xml><?xml version="1.0" encoding="utf-8"?>
<sst xmlns="http://schemas.openxmlformats.org/spreadsheetml/2006/main" count="537" uniqueCount="73">
  <si>
    <t>MATRIZ DE TREINAMENTOS POR FUNÇÃO</t>
  </si>
  <si>
    <t>Selecione o status em cada cruzamento Função × Treinamento: Aplica · Não Aplica · Onboarding. A cor é aplicada automaticamente.</t>
  </si>
  <si>
    <t>Função</t>
  </si>
  <si>
    <t>Aplica</t>
  </si>
  <si>
    <t>Não Aplica</t>
  </si>
  <si>
    <t>Onboarding</t>
  </si>
  <si>
    <t>% Aderência</t>
  </si>
  <si>
    <t>Analista Administrativo</t>
  </si>
  <si>
    <t>Assistente Administrativo</t>
  </si>
  <si>
    <t>Analista Operacional</t>
  </si>
  <si>
    <t>Técnico Planejamento</t>
  </si>
  <si>
    <t>Técnico em Infraestrutura</t>
  </si>
  <si>
    <t>Técnico em Manutenção</t>
  </si>
  <si>
    <t>Técnico Eletromecânico</t>
  </si>
  <si>
    <t>Engenheiro Civil</t>
  </si>
  <si>
    <t>Engenheiro Eletricista</t>
  </si>
  <si>
    <t>TOTAL DE FUNÇÕES COM 'APLICA'</t>
  </si>
  <si>
    <t>LEGENDA</t>
  </si>
  <si>
    <t>Treinamento obrigatório para a função.</t>
  </si>
  <si>
    <t>Treinamento não exigido para a função.</t>
  </si>
  <si>
    <t>Realizado apenas na integração/admissão.</t>
  </si>
  <si>
    <t>COMO USAR</t>
  </si>
  <si>
    <t>1. Substitua os títulos da linha 4 (colunas C em diante) pelos treinamentos da sua matriz — há 20 colunas disponíveis.</t>
  </si>
  <si>
    <t>2. Clique em qualquer célula do cruzamento Função × Treinamento e escolha o status na lista suspensa.</t>
  </si>
  <si>
    <t>3. A cor da célula é aplicada automaticamente por formatação condicional.</t>
  </si>
  <si>
    <t>4. As colunas de resumo e a linha de totais são calculadas por fórmula — não digite sobre elas.</t>
  </si>
  <si>
    <t>5. Use o filtro da linha 4 para isolar áreas ou funções; a aba 'Resumo' consolida os números por treinamento.</t>
  </si>
  <si>
    <t>Status</t>
  </si>
  <si>
    <t>Aba auxiliar da lista suspensa. Para incluir um novo status, adicione abaixo e amplie o intervalo da validação.</t>
  </si>
  <si>
    <t>RESUMO POR TREINAMENTO</t>
  </si>
  <si>
    <t>Treinamento</t>
  </si>
  <si>
    <t>% Funções que Aplicam</t>
  </si>
  <si>
    <t>TOTAL</t>
  </si>
  <si>
    <t>Todos os valores desta aba são calculados a partir da aba 'Matriz de Treinamentos'. Não digite sobre as fórmulas.</t>
  </si>
  <si>
    <t>NR 10 Segurança em Instalações Elétricas</t>
  </si>
  <si>
    <t>NR 35 Trabalho em Altura</t>
  </si>
  <si>
    <t>RAC 01 - Trabalho em  Altura</t>
  </si>
  <si>
    <t>RAC 04 - Bloqueio e Etiquetagem</t>
  </si>
  <si>
    <t>RAC 10 Trabalho em  Eletricidade</t>
  </si>
  <si>
    <t>Operador de Controles Ambientais</t>
  </si>
  <si>
    <t>RAC 07 Proteção de Máquinas</t>
  </si>
  <si>
    <t>RAC 02 - Veículos Automotores</t>
  </si>
  <si>
    <t>PRO 040866 - Procedimento Unificado Vale Brasil para Trabalho em Altura</t>
  </si>
  <si>
    <t>Assistente de Serviços</t>
  </si>
  <si>
    <t>PRO-039864 – Plano de trânsito Unificado Vale Brasil para Condução de veículo</t>
  </si>
  <si>
    <t>PRO-040169 – Procedimento Unificado Vale Brasil para Equipamentos Móveis</t>
  </si>
  <si>
    <t>PRO-040948 – Procedimento Unificado Vale Brasil para Bloqueio</t>
  </si>
  <si>
    <t>PRO-041860 – Procedimento Unificado para proteção de máquinas</t>
  </si>
  <si>
    <t>PRO-030499 – Atividades no Terreno</t>
  </si>
  <si>
    <t>PRO-041951 – Procedimento integrado para trabalhos em eletricidade</t>
  </si>
  <si>
    <t>PRO-049629 – Procedimento unificado de trabalho a quente</t>
  </si>
  <si>
    <t>PNR 000031: Diretrizes para Permissão de Trabalho Seguro</t>
  </si>
  <si>
    <t>PNR -000067 Gerenciamento de SSMA para Contratadas</t>
  </si>
  <si>
    <t>PNR-000068 Diretrizes para Análise de Risco da Tarefa</t>
  </si>
  <si>
    <t>PNR-000069 Requisito de tividades Críticas</t>
  </si>
  <si>
    <t>PNR-000070 - Gerenciamento de eventos de SSMAC</t>
  </si>
  <si>
    <t>PGS-007245 Diretrizes para Monitoramento de Fadiga e Telemetria Veicular</t>
  </si>
  <si>
    <t>NR 22 - Segurança e Saúde Ocupacional na Mineração</t>
  </si>
  <si>
    <t>PNR-000257 Diretrizes para Programas de Prevenção de Fadiga</t>
  </si>
  <si>
    <t>PGS-005227 Requisitos Gerais para Uso Seguro de Ferramentas Portáteis Rotativas</t>
  </si>
  <si>
    <t>PRO-022144 Guia para Segregação, Armazenamento e Destinação de Resíduos Sólidos</t>
  </si>
  <si>
    <t>NR 24 -  Condições Sanitárias e de Conformto nos Locais de Trabalho</t>
  </si>
  <si>
    <t>PNR 000047 - Integridade Estrutural - Geral</t>
  </si>
  <si>
    <t>PNR 000048 - Integridade Estrutural - Estruturas de Concreto</t>
  </si>
  <si>
    <t>Técnico em Meio Ambiente</t>
  </si>
  <si>
    <t>Assistente Tec Meio Ambiente</t>
  </si>
  <si>
    <t>Anti Corrupção</t>
  </si>
  <si>
    <t>Cuidados Digitais</t>
  </si>
  <si>
    <t>Direitos Humanos</t>
  </si>
  <si>
    <t>Gestão Global de Riscos</t>
  </si>
  <si>
    <t>VPS- Modelo de Gestão Vale</t>
  </si>
  <si>
    <t>Combate ao Assédio Sexual</t>
  </si>
  <si>
    <t>Ética e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</si>
</sst>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FFF7DA"/>
      <name val="Arial"/>
      <charset val="1"/>
    </font>
    <font>
      <b/>
      <sz val="10"/>
      <color rgb="FF1A2E2C"/>
      <name val="Arial"/>
      <charset val="1"/>
    </font>
    <font>
      <sz val="10"/>
      <color rgb="FF4D5C5A"/>
      <name val="Arial"/>
      <charset val="1"/>
    </font>
    <font>
      <sz val="10"/>
      <name val="Arial"/>
      <charset val="1"/>
    </font>
    <font>
      <b/>
      <sz val="11"/>
      <color rgb="FF007E7A"/>
      <name val="Arial"/>
      <charset val="1"/>
    </font>
    <font>
      <sz val="10"/>
      <name val="Arial"/>
      <family val="2"/>
    </font>
    <font>
      <b/>
      <sz val="11"/>
      <color rgb="FFFFFFFF"/>
      <name val="Arial"/>
      <charset val="1"/>
    </font>
    <font>
      <i/>
      <sz val="9"/>
      <color rgb="FF666666"/>
      <name val="Arial"/>
      <charset val="1"/>
    </font>
    <font>
      <sz val="11"/>
      <name val="Arial"/>
      <charset val="1"/>
    </font>
    <font>
      <b/>
      <sz val="14"/>
      <color rgb="FFFFFFFF"/>
      <name val="Arial"/>
      <charset val="1"/>
    </font>
    <font>
      <sz val="10"/>
      <color rgb="FF1A2E2C"/>
      <name val="Arial"/>
      <charset val="1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7E7A"/>
        <bgColor rgb="FF008080"/>
      </patternFill>
    </fill>
    <fill>
      <patternFill patternType="solid">
        <fgColor rgb="FF0ABB98"/>
        <bgColor rgb="FF00CCFF"/>
      </patternFill>
    </fill>
    <fill>
      <patternFill patternType="solid">
        <fgColor rgb="FFECB11F"/>
        <bgColor rgb="FFFFCC00"/>
      </patternFill>
    </fill>
    <fill>
      <patternFill patternType="solid">
        <fgColor rgb="FFF2F5F5"/>
        <bgColor rgb="FFFFFFFF"/>
      </patternFill>
    </fill>
    <fill>
      <patternFill patternType="solid">
        <fgColor rgb="FFFFFFFF"/>
        <bgColor rgb="FFF2F5F5"/>
      </patternFill>
    </fill>
  </fills>
  <borders count="2">
    <border>
      <left/>
      <right/>
      <top/>
      <bottom/>
      <diagonal/>
    </border>
    <border>
      <left style="thin">
        <color rgb="FFBFCBC9"/>
      </left>
      <right style="thin">
        <color rgb="FFBFCBC9"/>
      </right>
      <top style="thin">
        <color rgb="FFBFCBC9"/>
      </top>
      <bottom style="thin">
        <color rgb="FFBFCBC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0" fillId="2" borderId="0" xfId="0" applyFont="1" applyFill="1"/>
    <xf numFmtId="0" fontId="11" fillId="0" borderId="0" xfId="0" applyFont="1"/>
    <xf numFmtId="0" fontId="12" fillId="0" borderId="0" xfId="0" applyFont="1"/>
    <xf numFmtId="0" fontId="4" fillId="2" borderId="1" xfId="0" applyFont="1" applyFill="1" applyBorder="1" applyAlignment="1" applyProtection="1">
      <alignment horizontal="center" textRotation="90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center" textRotation="90" wrapText="1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0" fontId="14" fillId="6" borderId="1" xfId="0" applyFont="1" applyFill="1" applyBorder="1" applyAlignment="1">
      <alignment horizontal="left" vertical="center" indent="1"/>
    </xf>
    <xf numFmtId="0" fontId="14" fillId="6" borderId="1" xfId="0" applyFont="1" applyFill="1" applyBorder="1" applyAlignment="1">
      <alignment horizontal="center" vertical="center"/>
    </xf>
    <xf numFmtId="9" fontId="14" fillId="6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indent="1"/>
    </xf>
    <xf numFmtId="0" fontId="14" fillId="5" borderId="1" xfId="0" applyFont="1" applyFill="1" applyBorder="1" applyAlignment="1">
      <alignment horizontal="center" vertical="center"/>
    </xf>
    <xf numFmtId="9" fontId="14" fillId="5" borderId="1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10">
    <dxf>
      <fill>
        <patternFill>
          <bgColor theme="8" tint="0.59996337778862885"/>
        </patternFill>
      </fill>
    </dxf>
    <dxf>
      <font>
        <b/>
        <sz val="10"/>
        <color rgb="FF1A2E2C"/>
        <name val="Arial"/>
        <charset val="1"/>
      </font>
      <fill>
        <patternFill>
          <bgColor rgb="FFF2F5F5"/>
        </patternFill>
      </fill>
    </dxf>
    <dxf>
      <font>
        <b/>
        <sz val="10"/>
        <color rgb="FF1A2E2C"/>
        <name val="Arial"/>
        <charset val="1"/>
      </font>
      <fill>
        <patternFill>
          <bgColor rgb="FFECB11F"/>
        </patternFill>
      </fill>
    </dxf>
    <dxf>
      <font>
        <b/>
        <sz val="10"/>
        <color rgb="FFFFFFFF"/>
        <name val="Arial"/>
        <charset val="1"/>
      </font>
      <fill>
        <patternFill>
          <bgColor rgb="FF0ABB9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sz val="10"/>
        <color rgb="FF1A2E2C"/>
        <name val="Arial"/>
        <charset val="1"/>
      </font>
      <fill>
        <patternFill>
          <bgColor rgb="FFF2F5F5"/>
        </patternFill>
      </fill>
    </dxf>
    <dxf>
      <font>
        <b/>
        <sz val="10"/>
        <color rgb="FF1A2E2C"/>
        <name val="Arial"/>
        <charset val="1"/>
      </font>
      <fill>
        <patternFill>
          <bgColor rgb="FFECB11F"/>
        </patternFill>
      </fill>
    </dxf>
    <dxf>
      <font>
        <b/>
        <sz val="10"/>
        <color rgb="FFFFFFFF"/>
        <name val="Arial"/>
        <charset val="1"/>
      </font>
      <fill>
        <patternFill>
          <bgColor rgb="FF0ABB98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E7A"/>
      <rgbColor rgb="FFBFCBC9"/>
      <rgbColor rgb="FF808080"/>
      <rgbColor rgb="FF9999FF"/>
      <rgbColor rgb="FF993366"/>
      <rgbColor rgb="FFFFF7DA"/>
      <rgbColor rgb="FFF2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0ABB98"/>
      <rgbColor rgb="FF99CC00"/>
      <rgbColor rgb="FFFFCC00"/>
      <rgbColor rgb="FFECB11F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4D5C5A"/>
      <rgbColor rgb="FF1A2E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E7A"/>
    <pageSetUpPr fitToPage="1"/>
  </sheetPr>
  <dimension ref="A1:BH30"/>
  <sheetViews>
    <sheetView showGridLines="0" tabSelected="1" zoomScaleNormal="100" workbookViewId="0">
      <pane xSplit="1" ySplit="4" topLeftCell="B29" activePane="bottomRight" state="frozen"/>
      <selection pane="topRight" activeCell="C1" sqref="C1"/>
      <selection pane="bottomLeft" activeCell="A5" sqref="A5"/>
      <selection pane="bottomRight" sqref="A1:BH31"/>
    </sheetView>
  </sheetViews>
  <sheetFormatPr defaultColWidth="8.7265625" defaultRowHeight="14.5" x14ac:dyDescent="0.35"/>
  <cols>
    <col min="1" max="1" width="32.26953125" customWidth="1"/>
    <col min="2" max="4" width="15" customWidth="1"/>
    <col min="5" max="5" width="14.81640625" customWidth="1"/>
    <col min="6" max="6" width="10.54296875" customWidth="1"/>
    <col min="7" max="7" width="12.54296875" customWidth="1"/>
    <col min="8" max="8" width="15.81640625" customWidth="1"/>
    <col min="9" max="9" width="10.81640625" customWidth="1"/>
    <col min="10" max="10" width="10" customWidth="1"/>
    <col min="11" max="12" width="10.1796875" customWidth="1"/>
    <col min="13" max="13" width="9.81640625" customWidth="1"/>
    <col min="14" max="14" width="8.81640625" customWidth="1"/>
    <col min="15" max="15" width="9.54296875" customWidth="1"/>
    <col min="16" max="16" width="10.26953125" customWidth="1"/>
    <col min="17" max="17" width="10.54296875" customWidth="1"/>
    <col min="18" max="18" width="9.54296875" customWidth="1"/>
    <col min="19" max="19" width="9.26953125" customWidth="1"/>
    <col min="20" max="20" width="10.54296875" customWidth="1"/>
    <col min="21" max="21" width="8.81640625" customWidth="1"/>
    <col min="22" max="22" width="8.7265625" customWidth="1"/>
    <col min="23" max="23" width="9.54296875" customWidth="1"/>
    <col min="24" max="24" width="9.1796875" customWidth="1"/>
    <col min="25" max="25" width="9.7265625" customWidth="1"/>
    <col min="26" max="26" width="9.54296875" customWidth="1"/>
    <col min="27" max="27" width="10.1796875" customWidth="1"/>
    <col min="28" max="28" width="9.54296875" customWidth="1"/>
    <col min="29" max="29" width="9.81640625" customWidth="1"/>
    <col min="30" max="36" width="5.54296875" customWidth="1"/>
    <col min="37" max="56" width="5.54296875" hidden="1" customWidth="1"/>
    <col min="57" max="58" width="11" hidden="1" customWidth="1"/>
    <col min="59" max="59" width="12.54296875" hidden="1" customWidth="1"/>
    <col min="60" max="60" width="11" hidden="1" customWidth="1"/>
  </cols>
  <sheetData>
    <row r="1" spans="1:60" ht="30" customHeight="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</row>
    <row r="2" spans="1:60" ht="19.5" customHeight="1" x14ac:dyDescent="0.35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</row>
    <row r="3" spans="1:60" ht="7.5" customHeight="1" x14ac:dyDescent="0.35"/>
    <row r="4" spans="1:60" ht="144.75" customHeight="1" x14ac:dyDescent="0.35">
      <c r="A4" s="6" t="s">
        <v>2</v>
      </c>
      <c r="B4" s="7" t="s">
        <v>34</v>
      </c>
      <c r="C4" s="7" t="s">
        <v>57</v>
      </c>
      <c r="D4" s="7" t="s">
        <v>61</v>
      </c>
      <c r="E4" s="7" t="s">
        <v>35</v>
      </c>
      <c r="F4" s="7" t="s">
        <v>36</v>
      </c>
      <c r="G4" s="7" t="s">
        <v>41</v>
      </c>
      <c r="H4" s="7" t="s">
        <v>37</v>
      </c>
      <c r="I4" s="7" t="s">
        <v>40</v>
      </c>
      <c r="J4" s="7" t="s">
        <v>38</v>
      </c>
      <c r="K4" s="7" t="s">
        <v>42</v>
      </c>
      <c r="L4" s="7" t="s">
        <v>44</v>
      </c>
      <c r="M4" s="7" t="s">
        <v>45</v>
      </c>
      <c r="N4" s="7" t="s">
        <v>46</v>
      </c>
      <c r="O4" s="7" t="s">
        <v>47</v>
      </c>
      <c r="P4" s="7" t="s">
        <v>48</v>
      </c>
      <c r="Q4" s="7" t="s">
        <v>49</v>
      </c>
      <c r="R4" s="7" t="s">
        <v>50</v>
      </c>
      <c r="S4" s="7" t="s">
        <v>51</v>
      </c>
      <c r="T4" s="7" t="s">
        <v>52</v>
      </c>
      <c r="U4" s="7" t="s">
        <v>53</v>
      </c>
      <c r="V4" s="7" t="s">
        <v>54</v>
      </c>
      <c r="W4" s="7" t="s">
        <v>55</v>
      </c>
      <c r="X4" s="7" t="s">
        <v>56</v>
      </c>
      <c r="Y4" s="7" t="s">
        <v>58</v>
      </c>
      <c r="Z4" s="7" t="s">
        <v>59</v>
      </c>
      <c r="AA4" s="7" t="s">
        <v>60</v>
      </c>
      <c r="AB4" s="7" t="s">
        <v>62</v>
      </c>
      <c r="AC4" s="7" t="s">
        <v>63</v>
      </c>
      <c r="AD4" s="7" t="s">
        <v>66</v>
      </c>
      <c r="AE4" s="7" t="s">
        <v>67</v>
      </c>
      <c r="AF4" s="7" t="s">
        <v>68</v>
      </c>
      <c r="AG4" s="7" t="s">
        <v>69</v>
      </c>
      <c r="AH4" s="7" t="s">
        <v>70</v>
      </c>
      <c r="AI4" s="7" t="s">
        <v>71</v>
      </c>
      <c r="AJ4" s="7" t="s">
        <v>72</v>
      </c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8" t="s">
        <v>3</v>
      </c>
      <c r="BF4" s="9" t="s">
        <v>4</v>
      </c>
      <c r="BG4" s="10" t="s">
        <v>5</v>
      </c>
      <c r="BH4" s="11" t="s">
        <v>6</v>
      </c>
    </row>
    <row r="5" spans="1:60" ht="21.75" customHeight="1" x14ac:dyDescent="0.35">
      <c r="A5" s="12" t="s">
        <v>7</v>
      </c>
      <c r="B5" s="13" t="s">
        <v>4</v>
      </c>
      <c r="C5" s="13" t="s">
        <v>5</v>
      </c>
      <c r="D5" s="13" t="s">
        <v>4</v>
      </c>
      <c r="E5" s="13" t="s">
        <v>4</v>
      </c>
      <c r="F5" s="13" t="s">
        <v>4</v>
      </c>
      <c r="G5" s="13" t="s">
        <v>3</v>
      </c>
      <c r="H5" s="13" t="s">
        <v>4</v>
      </c>
      <c r="I5" s="13" t="s">
        <v>4</v>
      </c>
      <c r="J5" s="13" t="s">
        <v>4</v>
      </c>
      <c r="K5" s="13" t="s">
        <v>3</v>
      </c>
      <c r="L5" s="13" t="s">
        <v>3</v>
      </c>
      <c r="M5" s="13" t="s">
        <v>4</v>
      </c>
      <c r="N5" s="13" t="s">
        <v>3</v>
      </c>
      <c r="O5" s="13" t="s">
        <v>3</v>
      </c>
      <c r="P5" s="13" t="s">
        <v>3</v>
      </c>
      <c r="Q5" s="13" t="s">
        <v>3</v>
      </c>
      <c r="R5" s="13" t="s">
        <v>3</v>
      </c>
      <c r="S5" s="13" t="s">
        <v>3</v>
      </c>
      <c r="T5" s="13" t="s">
        <v>3</v>
      </c>
      <c r="U5" s="13" t="s">
        <v>3</v>
      </c>
      <c r="V5" s="13" t="s">
        <v>3</v>
      </c>
      <c r="W5" s="13" t="s">
        <v>3</v>
      </c>
      <c r="X5" s="13" t="s">
        <v>3</v>
      </c>
      <c r="Y5" s="13" t="s">
        <v>3</v>
      </c>
      <c r="Z5" s="13" t="s">
        <v>3</v>
      </c>
      <c r="AA5" s="13" t="s">
        <v>3</v>
      </c>
      <c r="AB5" s="13" t="s">
        <v>4</v>
      </c>
      <c r="AC5" s="13" t="s">
        <v>4</v>
      </c>
      <c r="AD5" s="13" t="s">
        <v>3</v>
      </c>
      <c r="AE5" s="13" t="s">
        <v>3</v>
      </c>
      <c r="AF5" s="13" t="s">
        <v>3</v>
      </c>
      <c r="AG5" s="13" t="s">
        <v>3</v>
      </c>
      <c r="AH5" s="13" t="s">
        <v>3</v>
      </c>
      <c r="AI5" s="13" t="s">
        <v>3</v>
      </c>
      <c r="AJ5" s="13" t="s">
        <v>3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14">
        <f t="shared" ref="BE5:BE17" si="0">COUNTIF(B5:BD5,"Aplica")</f>
        <v>24</v>
      </c>
      <c r="BF5" s="14">
        <f t="shared" ref="BF5:BF17" si="1">COUNTIF(B5:BD5,"Não Aplica")</f>
        <v>10</v>
      </c>
      <c r="BG5" s="14">
        <f t="shared" ref="BG5:BG17" si="2">COUNTIF(B5:BD5,"Onboarding")</f>
        <v>1</v>
      </c>
      <c r="BH5" s="15">
        <f t="shared" ref="BH5:BH17" si="3">IFERROR((BE5+BG5)/COUNTA(B$4:BD$4),0)</f>
        <v>0.7142857142857143</v>
      </c>
    </row>
    <row r="6" spans="1:60" ht="21.75" customHeight="1" x14ac:dyDescent="0.35">
      <c r="A6" s="12" t="s">
        <v>65</v>
      </c>
      <c r="B6" s="13" t="s">
        <v>4</v>
      </c>
      <c r="C6" s="13" t="s">
        <v>5</v>
      </c>
      <c r="D6" s="13" t="s">
        <v>4</v>
      </c>
      <c r="E6" s="13" t="s">
        <v>4</v>
      </c>
      <c r="F6" s="13" t="s">
        <v>4</v>
      </c>
      <c r="G6" s="13" t="s">
        <v>3</v>
      </c>
      <c r="H6" s="13" t="s">
        <v>4</v>
      </c>
      <c r="I6" s="13" t="s">
        <v>4</v>
      </c>
      <c r="J6" s="13" t="s">
        <v>4</v>
      </c>
      <c r="K6" s="13" t="s">
        <v>3</v>
      </c>
      <c r="L6" s="13" t="s">
        <v>3</v>
      </c>
      <c r="M6" s="13" t="s">
        <v>4</v>
      </c>
      <c r="N6" s="13" t="s">
        <v>3</v>
      </c>
      <c r="O6" s="13" t="s">
        <v>3</v>
      </c>
      <c r="P6" s="13" t="s">
        <v>3</v>
      </c>
      <c r="Q6" s="13" t="s">
        <v>3</v>
      </c>
      <c r="R6" s="13" t="s">
        <v>3</v>
      </c>
      <c r="S6" s="13" t="s">
        <v>3</v>
      </c>
      <c r="T6" s="13" t="s">
        <v>3</v>
      </c>
      <c r="U6" s="13" t="s">
        <v>3</v>
      </c>
      <c r="V6" s="13" t="s">
        <v>3</v>
      </c>
      <c r="W6" s="13" t="s">
        <v>3</v>
      </c>
      <c r="X6" s="13" t="s">
        <v>3</v>
      </c>
      <c r="Y6" s="13" t="s">
        <v>3</v>
      </c>
      <c r="Z6" s="13" t="s">
        <v>3</v>
      </c>
      <c r="AA6" s="13" t="s">
        <v>3</v>
      </c>
      <c r="AB6" s="13" t="s">
        <v>4</v>
      </c>
      <c r="AC6" s="13" t="s">
        <v>4</v>
      </c>
      <c r="AD6" s="13" t="s">
        <v>3</v>
      </c>
      <c r="AE6" s="13" t="s">
        <v>3</v>
      </c>
      <c r="AF6" s="13" t="s">
        <v>3</v>
      </c>
      <c r="AG6" s="13" t="s">
        <v>3</v>
      </c>
      <c r="AH6" s="13" t="s">
        <v>3</v>
      </c>
      <c r="AI6" s="13" t="s">
        <v>3</v>
      </c>
      <c r="AJ6" s="13" t="s">
        <v>3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14"/>
      <c r="BF6" s="14"/>
      <c r="BG6" s="14"/>
      <c r="BH6" s="15"/>
    </row>
    <row r="7" spans="1:60" ht="21.75" customHeight="1" x14ac:dyDescent="0.35">
      <c r="A7" s="12" t="s">
        <v>43</v>
      </c>
      <c r="B7" s="13" t="s">
        <v>4</v>
      </c>
      <c r="C7" s="13" t="s">
        <v>5</v>
      </c>
      <c r="D7" s="13" t="s">
        <v>4</v>
      </c>
      <c r="E7" s="13" t="s">
        <v>4</v>
      </c>
      <c r="F7" s="13" t="s">
        <v>4</v>
      </c>
      <c r="G7" s="13" t="s">
        <v>3</v>
      </c>
      <c r="H7" s="13" t="s">
        <v>4</v>
      </c>
      <c r="I7" s="13" t="s">
        <v>4</v>
      </c>
      <c r="J7" s="13" t="s">
        <v>4</v>
      </c>
      <c r="K7" s="13" t="s">
        <v>3</v>
      </c>
      <c r="L7" s="13" t="s">
        <v>3</v>
      </c>
      <c r="M7" s="13" t="s">
        <v>4</v>
      </c>
      <c r="N7" s="13" t="s">
        <v>3</v>
      </c>
      <c r="O7" s="13" t="s">
        <v>3</v>
      </c>
      <c r="P7" s="13" t="s">
        <v>3</v>
      </c>
      <c r="Q7" s="13" t="s">
        <v>3</v>
      </c>
      <c r="R7" s="13" t="s">
        <v>3</v>
      </c>
      <c r="S7" s="13" t="s">
        <v>3</v>
      </c>
      <c r="T7" s="13" t="s">
        <v>3</v>
      </c>
      <c r="U7" s="13" t="s">
        <v>3</v>
      </c>
      <c r="V7" s="13" t="s">
        <v>3</v>
      </c>
      <c r="W7" s="13" t="s">
        <v>3</v>
      </c>
      <c r="X7" s="13" t="s">
        <v>3</v>
      </c>
      <c r="Y7" s="13" t="s">
        <v>3</v>
      </c>
      <c r="Z7" s="13" t="s">
        <v>3</v>
      </c>
      <c r="AA7" s="13" t="s">
        <v>3</v>
      </c>
      <c r="AB7" s="13" t="s">
        <v>4</v>
      </c>
      <c r="AC7" s="13" t="s">
        <v>4</v>
      </c>
      <c r="AD7" s="13" t="s">
        <v>3</v>
      </c>
      <c r="AE7" s="13" t="s">
        <v>3</v>
      </c>
      <c r="AF7" s="13" t="s">
        <v>3</v>
      </c>
      <c r="AG7" s="13" t="s">
        <v>3</v>
      </c>
      <c r="AH7" s="13" t="s">
        <v>3</v>
      </c>
      <c r="AI7" s="13" t="s">
        <v>3</v>
      </c>
      <c r="AJ7" s="13" t="s">
        <v>3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14"/>
      <c r="BF7" s="14"/>
      <c r="BG7" s="14"/>
      <c r="BH7" s="15"/>
    </row>
    <row r="8" spans="1:60" ht="21.75" customHeight="1" x14ac:dyDescent="0.35">
      <c r="A8" s="12" t="s">
        <v>8</v>
      </c>
      <c r="B8" s="13" t="s">
        <v>4</v>
      </c>
      <c r="C8" s="13" t="s">
        <v>5</v>
      </c>
      <c r="D8" s="13" t="s">
        <v>4</v>
      </c>
      <c r="E8" s="13" t="s">
        <v>4</v>
      </c>
      <c r="F8" s="13" t="s">
        <v>4</v>
      </c>
      <c r="G8" s="13" t="s">
        <v>3</v>
      </c>
      <c r="H8" s="13" t="s">
        <v>4</v>
      </c>
      <c r="I8" s="13" t="s">
        <v>4</v>
      </c>
      <c r="J8" s="13" t="s">
        <v>4</v>
      </c>
      <c r="K8" s="13" t="s">
        <v>3</v>
      </c>
      <c r="L8" s="13" t="s">
        <v>3</v>
      </c>
      <c r="M8" s="13" t="s">
        <v>4</v>
      </c>
      <c r="N8" s="13" t="s">
        <v>3</v>
      </c>
      <c r="O8" s="13" t="s">
        <v>3</v>
      </c>
      <c r="P8" s="13" t="s">
        <v>3</v>
      </c>
      <c r="Q8" s="13" t="s">
        <v>3</v>
      </c>
      <c r="R8" s="13" t="s">
        <v>3</v>
      </c>
      <c r="S8" s="13" t="s">
        <v>3</v>
      </c>
      <c r="T8" s="13" t="s">
        <v>3</v>
      </c>
      <c r="U8" s="13" t="s">
        <v>3</v>
      </c>
      <c r="V8" s="13" t="s">
        <v>3</v>
      </c>
      <c r="W8" s="13" t="s">
        <v>3</v>
      </c>
      <c r="X8" s="13" t="s">
        <v>3</v>
      </c>
      <c r="Y8" s="13" t="s">
        <v>3</v>
      </c>
      <c r="Z8" s="13" t="s">
        <v>3</v>
      </c>
      <c r="AA8" s="13" t="s">
        <v>3</v>
      </c>
      <c r="AB8" s="13" t="s">
        <v>4</v>
      </c>
      <c r="AC8" s="13" t="s">
        <v>4</v>
      </c>
      <c r="AD8" s="13" t="s">
        <v>3</v>
      </c>
      <c r="AE8" s="13" t="s">
        <v>3</v>
      </c>
      <c r="AF8" s="13" t="s">
        <v>3</v>
      </c>
      <c r="AG8" s="13" t="s">
        <v>3</v>
      </c>
      <c r="AH8" s="13" t="s">
        <v>3</v>
      </c>
      <c r="AI8" s="13" t="s">
        <v>3</v>
      </c>
      <c r="AJ8" s="13" t="s">
        <v>3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14">
        <f t="shared" si="0"/>
        <v>24</v>
      </c>
      <c r="BF8" s="14">
        <f t="shared" si="1"/>
        <v>10</v>
      </c>
      <c r="BG8" s="14">
        <f t="shared" si="2"/>
        <v>1</v>
      </c>
      <c r="BH8" s="15">
        <f t="shared" si="3"/>
        <v>0.7142857142857143</v>
      </c>
    </row>
    <row r="9" spans="1:60" ht="21.75" customHeight="1" x14ac:dyDescent="0.35">
      <c r="A9" s="12" t="s">
        <v>9</v>
      </c>
      <c r="B9" s="13" t="s">
        <v>4</v>
      </c>
      <c r="C9" s="13" t="s">
        <v>5</v>
      </c>
      <c r="D9" s="13" t="s">
        <v>4</v>
      </c>
      <c r="E9" s="13" t="s">
        <v>4</v>
      </c>
      <c r="F9" s="13" t="s">
        <v>4</v>
      </c>
      <c r="G9" s="13" t="s">
        <v>3</v>
      </c>
      <c r="H9" s="13" t="s">
        <v>4</v>
      </c>
      <c r="I9" s="13" t="s">
        <v>4</v>
      </c>
      <c r="J9" s="13" t="s">
        <v>4</v>
      </c>
      <c r="K9" s="13" t="s">
        <v>3</v>
      </c>
      <c r="L9" s="13" t="s">
        <v>3</v>
      </c>
      <c r="M9" s="13" t="s">
        <v>4</v>
      </c>
      <c r="N9" s="13" t="s">
        <v>3</v>
      </c>
      <c r="O9" s="13" t="s">
        <v>3</v>
      </c>
      <c r="P9" s="13" t="s">
        <v>3</v>
      </c>
      <c r="Q9" s="13" t="s">
        <v>3</v>
      </c>
      <c r="R9" s="13" t="s">
        <v>3</v>
      </c>
      <c r="S9" s="13" t="s">
        <v>3</v>
      </c>
      <c r="T9" s="13" t="s">
        <v>3</v>
      </c>
      <c r="U9" s="13" t="s">
        <v>3</v>
      </c>
      <c r="V9" s="13" t="s">
        <v>3</v>
      </c>
      <c r="W9" s="13" t="s">
        <v>3</v>
      </c>
      <c r="X9" s="13" t="s">
        <v>3</v>
      </c>
      <c r="Y9" s="13" t="s">
        <v>3</v>
      </c>
      <c r="Z9" s="13" t="s">
        <v>3</v>
      </c>
      <c r="AA9" s="13" t="s">
        <v>3</v>
      </c>
      <c r="AB9" s="13" t="s">
        <v>4</v>
      </c>
      <c r="AC9" s="13" t="s">
        <v>4</v>
      </c>
      <c r="AD9" s="13" t="s">
        <v>3</v>
      </c>
      <c r="AE9" s="13" t="s">
        <v>3</v>
      </c>
      <c r="AF9" s="13" t="s">
        <v>3</v>
      </c>
      <c r="AG9" s="13" t="s">
        <v>3</v>
      </c>
      <c r="AH9" s="13" t="s">
        <v>3</v>
      </c>
      <c r="AI9" s="13" t="s">
        <v>3</v>
      </c>
      <c r="AJ9" s="13" t="s">
        <v>3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14">
        <f t="shared" si="0"/>
        <v>24</v>
      </c>
      <c r="BF9" s="14">
        <f t="shared" si="1"/>
        <v>10</v>
      </c>
      <c r="BG9" s="14">
        <f t="shared" si="2"/>
        <v>1</v>
      </c>
      <c r="BH9" s="15">
        <f t="shared" si="3"/>
        <v>0.7142857142857143</v>
      </c>
    </row>
    <row r="10" spans="1:60" ht="21.75" customHeight="1" x14ac:dyDescent="0.35">
      <c r="A10" s="12" t="s">
        <v>14</v>
      </c>
      <c r="B10" s="13" t="s">
        <v>4</v>
      </c>
      <c r="C10" s="13" t="s">
        <v>5</v>
      </c>
      <c r="D10" s="13" t="s">
        <v>5</v>
      </c>
      <c r="E10" s="13" t="s">
        <v>4</v>
      </c>
      <c r="F10" s="13" t="s">
        <v>4</v>
      </c>
      <c r="G10" s="13" t="s">
        <v>3</v>
      </c>
      <c r="H10" s="13" t="s">
        <v>4</v>
      </c>
      <c r="I10" s="13" t="s">
        <v>4</v>
      </c>
      <c r="J10" s="13" t="s">
        <v>4</v>
      </c>
      <c r="K10" s="13" t="s">
        <v>3</v>
      </c>
      <c r="L10" s="13" t="s">
        <v>3</v>
      </c>
      <c r="M10" s="13" t="s">
        <v>4</v>
      </c>
      <c r="N10" s="13" t="s">
        <v>4</v>
      </c>
      <c r="O10" s="13" t="s">
        <v>3</v>
      </c>
      <c r="P10" s="13" t="s">
        <v>4</v>
      </c>
      <c r="Q10" s="13" t="s">
        <v>3</v>
      </c>
      <c r="R10" s="13" t="s">
        <v>4</v>
      </c>
      <c r="S10" s="13" t="s">
        <v>3</v>
      </c>
      <c r="T10" s="13" t="s">
        <v>3</v>
      </c>
      <c r="U10" s="13" t="s">
        <v>3</v>
      </c>
      <c r="V10" s="13" t="s">
        <v>3</v>
      </c>
      <c r="W10" s="13" t="s">
        <v>3</v>
      </c>
      <c r="X10" s="13" t="s">
        <v>3</v>
      </c>
      <c r="Y10" s="13" t="s">
        <v>3</v>
      </c>
      <c r="Z10" s="13" t="s">
        <v>3</v>
      </c>
      <c r="AA10" s="13" t="s">
        <v>3</v>
      </c>
      <c r="AB10" s="13" t="s">
        <v>3</v>
      </c>
      <c r="AC10" s="13" t="s">
        <v>3</v>
      </c>
      <c r="AD10" s="13" t="s">
        <v>3</v>
      </c>
      <c r="AE10" s="13" t="s">
        <v>3</v>
      </c>
      <c r="AF10" s="13" t="s">
        <v>3</v>
      </c>
      <c r="AG10" s="13" t="s">
        <v>3</v>
      </c>
      <c r="AH10" s="13" t="s">
        <v>3</v>
      </c>
      <c r="AI10" s="13" t="s">
        <v>3</v>
      </c>
      <c r="AJ10" s="13" t="s">
        <v>3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14"/>
      <c r="BF10" s="14"/>
      <c r="BG10" s="14"/>
      <c r="BH10" s="15"/>
    </row>
    <row r="11" spans="1:60" ht="21.75" customHeight="1" x14ac:dyDescent="0.35">
      <c r="A11" s="12" t="s">
        <v>15</v>
      </c>
      <c r="B11" s="13" t="s">
        <v>3</v>
      </c>
      <c r="C11" s="13" t="s">
        <v>5</v>
      </c>
      <c r="D11" s="13" t="s">
        <v>4</v>
      </c>
      <c r="E11" s="13" t="s">
        <v>4</v>
      </c>
      <c r="F11" s="13" t="s">
        <v>4</v>
      </c>
      <c r="G11" s="13" t="s">
        <v>3</v>
      </c>
      <c r="H11" s="13" t="s">
        <v>3</v>
      </c>
      <c r="I11" s="13" t="s">
        <v>4</v>
      </c>
      <c r="J11" s="13" t="s">
        <v>3</v>
      </c>
      <c r="K11" s="13" t="s">
        <v>4</v>
      </c>
      <c r="L11" s="13" t="s">
        <v>3</v>
      </c>
      <c r="M11" s="13" t="s">
        <v>4</v>
      </c>
      <c r="N11" s="13" t="s">
        <v>3</v>
      </c>
      <c r="O11" s="13" t="s">
        <v>4</v>
      </c>
      <c r="P11" s="13" t="s">
        <v>4</v>
      </c>
      <c r="Q11" s="13" t="s">
        <v>3</v>
      </c>
      <c r="R11" s="13" t="s">
        <v>4</v>
      </c>
      <c r="S11" s="13" t="s">
        <v>3</v>
      </c>
      <c r="T11" s="13" t="s">
        <v>4</v>
      </c>
      <c r="U11" s="13" t="s">
        <v>3</v>
      </c>
      <c r="V11" s="13" t="s">
        <v>3</v>
      </c>
      <c r="W11" s="13" t="s">
        <v>3</v>
      </c>
      <c r="X11" s="13" t="s">
        <v>3</v>
      </c>
      <c r="Y11" s="13" t="s">
        <v>3</v>
      </c>
      <c r="Z11" s="13" t="s">
        <v>4</v>
      </c>
      <c r="AA11" s="13" t="s">
        <v>3</v>
      </c>
      <c r="AB11" s="13" t="s">
        <v>4</v>
      </c>
      <c r="AC11" s="13" t="s">
        <v>4</v>
      </c>
      <c r="AD11" s="13" t="s">
        <v>3</v>
      </c>
      <c r="AE11" s="13" t="s">
        <v>3</v>
      </c>
      <c r="AF11" s="13" t="s">
        <v>3</v>
      </c>
      <c r="AG11" s="13" t="s">
        <v>3</v>
      </c>
      <c r="AH11" s="13" t="s">
        <v>3</v>
      </c>
      <c r="AI11" s="13" t="s">
        <v>3</v>
      </c>
      <c r="AJ11" s="13" t="s">
        <v>3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14"/>
      <c r="BF11" s="14"/>
      <c r="BG11" s="14"/>
      <c r="BH11" s="15"/>
    </row>
    <row r="12" spans="1:60" ht="21.75" customHeight="1" x14ac:dyDescent="0.35">
      <c r="A12" s="12" t="s">
        <v>39</v>
      </c>
      <c r="B12" s="13" t="s">
        <v>4</v>
      </c>
      <c r="C12" s="13" t="s">
        <v>5</v>
      </c>
      <c r="D12" s="13" t="s">
        <v>4</v>
      </c>
      <c r="E12" s="13" t="s">
        <v>4</v>
      </c>
      <c r="F12" s="13" t="s">
        <v>4</v>
      </c>
      <c r="G12" s="13" t="s">
        <v>3</v>
      </c>
      <c r="H12" s="13" t="s">
        <v>3</v>
      </c>
      <c r="I12" s="13" t="s">
        <v>4</v>
      </c>
      <c r="J12" s="13" t="s">
        <v>4</v>
      </c>
      <c r="K12" s="13" t="s">
        <v>4</v>
      </c>
      <c r="L12" s="13" t="s">
        <v>3</v>
      </c>
      <c r="M12" s="13" t="s">
        <v>4</v>
      </c>
      <c r="N12" s="13" t="s">
        <v>3</v>
      </c>
      <c r="O12" s="13" t="s">
        <v>3</v>
      </c>
      <c r="P12" s="13" t="s">
        <v>4</v>
      </c>
      <c r="Q12" s="13" t="s">
        <v>4</v>
      </c>
      <c r="R12" s="13" t="s">
        <v>4</v>
      </c>
      <c r="S12" s="13" t="s">
        <v>3</v>
      </c>
      <c r="T12" s="13" t="s">
        <v>3</v>
      </c>
      <c r="U12" s="13" t="s">
        <v>3</v>
      </c>
      <c r="V12" s="13" t="s">
        <v>3</v>
      </c>
      <c r="W12" s="13" t="s">
        <v>3</v>
      </c>
      <c r="X12" s="13" t="s">
        <v>3</v>
      </c>
      <c r="Y12" s="13" t="s">
        <v>3</v>
      </c>
      <c r="Z12" s="13" t="s">
        <v>4</v>
      </c>
      <c r="AA12" s="13" t="s">
        <v>3</v>
      </c>
      <c r="AB12" s="13" t="s">
        <v>4</v>
      </c>
      <c r="AC12" s="13" t="s">
        <v>4</v>
      </c>
      <c r="AD12" s="13" t="s">
        <v>3</v>
      </c>
      <c r="AE12" s="13" t="s">
        <v>3</v>
      </c>
      <c r="AF12" s="13" t="s">
        <v>3</v>
      </c>
      <c r="AG12" s="13" t="s">
        <v>3</v>
      </c>
      <c r="AH12" s="13" t="s">
        <v>3</v>
      </c>
      <c r="AI12" s="13" t="s">
        <v>3</v>
      </c>
      <c r="AJ12" s="13" t="s">
        <v>3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14"/>
      <c r="BF12" s="14"/>
      <c r="BG12" s="14"/>
      <c r="BH12" s="15"/>
    </row>
    <row r="13" spans="1:60" ht="21.75" customHeight="1" x14ac:dyDescent="0.35">
      <c r="A13" s="12" t="s">
        <v>10</v>
      </c>
      <c r="B13" s="13" t="s">
        <v>4</v>
      </c>
      <c r="C13" s="13" t="s">
        <v>5</v>
      </c>
      <c r="D13" s="13" t="s">
        <v>4</v>
      </c>
      <c r="E13" s="13" t="s">
        <v>4</v>
      </c>
      <c r="F13" s="13" t="s">
        <v>4</v>
      </c>
      <c r="G13" s="13" t="s">
        <v>3</v>
      </c>
      <c r="H13" s="13" t="s">
        <v>3</v>
      </c>
      <c r="I13" s="13" t="s">
        <v>4</v>
      </c>
      <c r="J13" s="13" t="s">
        <v>4</v>
      </c>
      <c r="K13" s="13" t="s">
        <v>4</v>
      </c>
      <c r="L13" s="13" t="s">
        <v>3</v>
      </c>
      <c r="M13" s="13" t="s">
        <v>4</v>
      </c>
      <c r="N13" s="13" t="s">
        <v>3</v>
      </c>
      <c r="O13" s="13" t="s">
        <v>3</v>
      </c>
      <c r="P13" s="13" t="s">
        <v>4</v>
      </c>
      <c r="Q13" s="13" t="s">
        <v>4</v>
      </c>
      <c r="R13" s="13" t="s">
        <v>4</v>
      </c>
      <c r="S13" s="13" t="s">
        <v>3</v>
      </c>
      <c r="T13" s="13" t="s">
        <v>3</v>
      </c>
      <c r="U13" s="13" t="s">
        <v>3</v>
      </c>
      <c r="V13" s="13" t="s">
        <v>3</v>
      </c>
      <c r="W13" s="13" t="s">
        <v>3</v>
      </c>
      <c r="X13" s="13" t="s">
        <v>3</v>
      </c>
      <c r="Y13" s="13" t="s">
        <v>3</v>
      </c>
      <c r="Z13" s="13" t="s">
        <v>4</v>
      </c>
      <c r="AA13" s="13" t="s">
        <v>3</v>
      </c>
      <c r="AB13" s="13" t="s">
        <v>4</v>
      </c>
      <c r="AC13" s="13" t="s">
        <v>4</v>
      </c>
      <c r="AD13" s="13" t="s">
        <v>3</v>
      </c>
      <c r="AE13" s="13" t="s">
        <v>3</v>
      </c>
      <c r="AF13" s="13" t="s">
        <v>3</v>
      </c>
      <c r="AG13" s="13" t="s">
        <v>3</v>
      </c>
      <c r="AH13" s="13" t="s">
        <v>3</v>
      </c>
      <c r="AI13" s="13" t="s">
        <v>3</v>
      </c>
      <c r="AJ13" s="13" t="s">
        <v>3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14">
        <f t="shared" si="0"/>
        <v>20</v>
      </c>
      <c r="BF13" s="14">
        <f t="shared" si="1"/>
        <v>14</v>
      </c>
      <c r="BG13" s="14">
        <f t="shared" si="2"/>
        <v>1</v>
      </c>
      <c r="BH13" s="15">
        <f t="shared" si="3"/>
        <v>0.6</v>
      </c>
    </row>
    <row r="14" spans="1:60" ht="21.75" customHeight="1" x14ac:dyDescent="0.35">
      <c r="A14" s="12" t="s">
        <v>11</v>
      </c>
      <c r="B14" s="13" t="s">
        <v>4</v>
      </c>
      <c r="C14" s="13" t="s">
        <v>5</v>
      </c>
      <c r="D14" s="13" t="s">
        <v>4</v>
      </c>
      <c r="E14" s="13" t="s">
        <v>4</v>
      </c>
      <c r="F14" s="13" t="s">
        <v>4</v>
      </c>
      <c r="G14" s="13" t="s">
        <v>3</v>
      </c>
      <c r="H14" s="13" t="s">
        <v>3</v>
      </c>
      <c r="I14" s="13" t="s">
        <v>4</v>
      </c>
      <c r="J14" s="13" t="s">
        <v>4</v>
      </c>
      <c r="K14" s="13" t="s">
        <v>4</v>
      </c>
      <c r="L14" s="13" t="s">
        <v>3</v>
      </c>
      <c r="M14" s="13" t="s">
        <v>4</v>
      </c>
      <c r="N14" s="13" t="s">
        <v>3</v>
      </c>
      <c r="O14" s="13" t="s">
        <v>3</v>
      </c>
      <c r="P14" s="13" t="s">
        <v>4</v>
      </c>
      <c r="Q14" s="13" t="s">
        <v>4</v>
      </c>
      <c r="R14" s="13" t="s">
        <v>4</v>
      </c>
      <c r="S14" s="13" t="s">
        <v>3</v>
      </c>
      <c r="T14" s="13" t="s">
        <v>3</v>
      </c>
      <c r="U14" s="13" t="s">
        <v>3</v>
      </c>
      <c r="V14" s="13" t="s">
        <v>3</v>
      </c>
      <c r="W14" s="13" t="s">
        <v>3</v>
      </c>
      <c r="X14" s="13" t="s">
        <v>3</v>
      </c>
      <c r="Y14" s="13" t="s">
        <v>3</v>
      </c>
      <c r="Z14" s="13" t="s">
        <v>4</v>
      </c>
      <c r="AA14" s="13" t="s">
        <v>3</v>
      </c>
      <c r="AB14" s="13" t="s">
        <v>4</v>
      </c>
      <c r="AC14" s="13" t="s">
        <v>4</v>
      </c>
      <c r="AD14" s="13" t="s">
        <v>3</v>
      </c>
      <c r="AE14" s="13" t="s">
        <v>3</v>
      </c>
      <c r="AF14" s="13" t="s">
        <v>3</v>
      </c>
      <c r="AG14" s="13" t="s">
        <v>3</v>
      </c>
      <c r="AH14" s="13" t="s">
        <v>3</v>
      </c>
      <c r="AI14" s="13" t="s">
        <v>3</v>
      </c>
      <c r="AJ14" s="13" t="s">
        <v>3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14">
        <f t="shared" si="0"/>
        <v>20</v>
      </c>
      <c r="BF14" s="14">
        <f t="shared" si="1"/>
        <v>14</v>
      </c>
      <c r="BG14" s="14">
        <f t="shared" si="2"/>
        <v>1</v>
      </c>
      <c r="BH14" s="15">
        <f t="shared" si="3"/>
        <v>0.6</v>
      </c>
    </row>
    <row r="15" spans="1:60" ht="21.75" customHeight="1" x14ac:dyDescent="0.35">
      <c r="A15" s="12" t="s">
        <v>12</v>
      </c>
      <c r="B15" s="13" t="s">
        <v>4</v>
      </c>
      <c r="C15" s="13" t="s">
        <v>5</v>
      </c>
      <c r="D15" s="13" t="s">
        <v>4</v>
      </c>
      <c r="E15" s="13" t="s">
        <v>4</v>
      </c>
      <c r="F15" s="13" t="s">
        <v>4</v>
      </c>
      <c r="G15" s="13" t="s">
        <v>3</v>
      </c>
      <c r="H15" s="13" t="s">
        <v>3</v>
      </c>
      <c r="I15" s="13" t="s">
        <v>4</v>
      </c>
      <c r="J15" s="13" t="s">
        <v>4</v>
      </c>
      <c r="K15" s="13" t="s">
        <v>4</v>
      </c>
      <c r="L15" s="13" t="s">
        <v>3</v>
      </c>
      <c r="M15" s="13" t="s">
        <v>4</v>
      </c>
      <c r="N15" s="13" t="s">
        <v>3</v>
      </c>
      <c r="O15" s="13" t="s">
        <v>3</v>
      </c>
      <c r="P15" s="13" t="s">
        <v>4</v>
      </c>
      <c r="Q15" s="13" t="s">
        <v>4</v>
      </c>
      <c r="R15" s="13" t="s">
        <v>4</v>
      </c>
      <c r="S15" s="13" t="s">
        <v>3</v>
      </c>
      <c r="T15" s="13" t="s">
        <v>3</v>
      </c>
      <c r="U15" s="13" t="s">
        <v>3</v>
      </c>
      <c r="V15" s="13" t="s">
        <v>3</v>
      </c>
      <c r="W15" s="13" t="s">
        <v>3</v>
      </c>
      <c r="X15" s="13" t="s">
        <v>3</v>
      </c>
      <c r="Y15" s="13" t="s">
        <v>3</v>
      </c>
      <c r="Z15" s="13" t="s">
        <v>4</v>
      </c>
      <c r="AA15" s="13" t="s">
        <v>3</v>
      </c>
      <c r="AB15" s="13" t="s">
        <v>4</v>
      </c>
      <c r="AC15" s="13" t="s">
        <v>4</v>
      </c>
      <c r="AD15" s="13" t="s">
        <v>3</v>
      </c>
      <c r="AE15" s="13" t="s">
        <v>3</v>
      </c>
      <c r="AF15" s="13" t="s">
        <v>3</v>
      </c>
      <c r="AG15" s="13" t="s">
        <v>3</v>
      </c>
      <c r="AH15" s="13" t="s">
        <v>3</v>
      </c>
      <c r="AI15" s="13" t="s">
        <v>3</v>
      </c>
      <c r="AJ15" s="13" t="s">
        <v>3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14">
        <f t="shared" si="0"/>
        <v>20</v>
      </c>
      <c r="BF15" s="14">
        <f t="shared" si="1"/>
        <v>14</v>
      </c>
      <c r="BG15" s="14">
        <f t="shared" si="2"/>
        <v>1</v>
      </c>
      <c r="BH15" s="15">
        <f t="shared" si="3"/>
        <v>0.6</v>
      </c>
    </row>
    <row r="16" spans="1:60" ht="21.75" customHeight="1" x14ac:dyDescent="0.35">
      <c r="A16" s="12" t="s">
        <v>64</v>
      </c>
      <c r="B16" s="13" t="s">
        <v>4</v>
      </c>
      <c r="C16" s="13" t="s">
        <v>5</v>
      </c>
      <c r="D16" s="13" t="s">
        <v>4</v>
      </c>
      <c r="E16" s="13" t="s">
        <v>4</v>
      </c>
      <c r="F16" s="13" t="s">
        <v>4</v>
      </c>
      <c r="G16" s="13" t="s">
        <v>3</v>
      </c>
      <c r="H16" s="13" t="s">
        <v>3</v>
      </c>
      <c r="I16" s="13" t="s">
        <v>4</v>
      </c>
      <c r="J16" s="13" t="s">
        <v>4</v>
      </c>
      <c r="K16" s="13" t="s">
        <v>4</v>
      </c>
      <c r="L16" s="13" t="s">
        <v>3</v>
      </c>
      <c r="M16" s="13" t="s">
        <v>4</v>
      </c>
      <c r="N16" s="13" t="s">
        <v>3</v>
      </c>
      <c r="O16" s="13" t="s">
        <v>3</v>
      </c>
      <c r="P16" s="13" t="s">
        <v>4</v>
      </c>
      <c r="Q16" s="13" t="s">
        <v>4</v>
      </c>
      <c r="R16" s="13" t="s">
        <v>4</v>
      </c>
      <c r="S16" s="13" t="s">
        <v>3</v>
      </c>
      <c r="T16" s="13" t="s">
        <v>3</v>
      </c>
      <c r="U16" s="13" t="s">
        <v>3</v>
      </c>
      <c r="V16" s="13" t="s">
        <v>3</v>
      </c>
      <c r="W16" s="13" t="s">
        <v>3</v>
      </c>
      <c r="X16" s="13" t="s">
        <v>3</v>
      </c>
      <c r="Y16" s="13" t="s">
        <v>3</v>
      </c>
      <c r="Z16" s="13" t="s">
        <v>4</v>
      </c>
      <c r="AA16" s="13" t="s">
        <v>3</v>
      </c>
      <c r="AB16" s="13" t="s">
        <v>4</v>
      </c>
      <c r="AC16" s="13" t="s">
        <v>4</v>
      </c>
      <c r="AD16" s="13" t="s">
        <v>3</v>
      </c>
      <c r="AE16" s="13" t="s">
        <v>3</v>
      </c>
      <c r="AF16" s="13" t="s">
        <v>3</v>
      </c>
      <c r="AG16" s="13" t="s">
        <v>3</v>
      </c>
      <c r="AH16" s="13" t="s">
        <v>3</v>
      </c>
      <c r="AI16" s="13" t="s">
        <v>3</v>
      </c>
      <c r="AJ16" s="13" t="s">
        <v>3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14"/>
      <c r="BF16" s="14"/>
      <c r="BG16" s="14"/>
      <c r="BH16" s="15"/>
    </row>
    <row r="17" spans="1:60" ht="21.75" customHeight="1" x14ac:dyDescent="0.35">
      <c r="A17" s="12" t="s">
        <v>13</v>
      </c>
      <c r="B17" s="13" t="s">
        <v>4</v>
      </c>
      <c r="C17" s="13" t="s">
        <v>5</v>
      </c>
      <c r="D17" s="13" t="s">
        <v>4</v>
      </c>
      <c r="E17" s="13" t="s">
        <v>4</v>
      </c>
      <c r="F17" s="13" t="s">
        <v>4</v>
      </c>
      <c r="G17" s="13" t="s">
        <v>3</v>
      </c>
      <c r="H17" s="13" t="s">
        <v>3</v>
      </c>
      <c r="I17" s="13" t="s">
        <v>4</v>
      </c>
      <c r="J17" s="13" t="s">
        <v>4</v>
      </c>
      <c r="K17" s="13" t="s">
        <v>4</v>
      </c>
      <c r="L17" s="13" t="s">
        <v>3</v>
      </c>
      <c r="M17" s="13" t="s">
        <v>4</v>
      </c>
      <c r="N17" s="13" t="s">
        <v>3</v>
      </c>
      <c r="O17" s="13" t="s">
        <v>3</v>
      </c>
      <c r="P17" s="13" t="s">
        <v>4</v>
      </c>
      <c r="Q17" s="13" t="s">
        <v>3</v>
      </c>
      <c r="R17" s="13" t="s">
        <v>4</v>
      </c>
      <c r="S17" s="13" t="s">
        <v>3</v>
      </c>
      <c r="T17" s="13" t="s">
        <v>3</v>
      </c>
      <c r="U17" s="13" t="s">
        <v>3</v>
      </c>
      <c r="V17" s="13" t="s">
        <v>3</v>
      </c>
      <c r="W17" s="13" t="s">
        <v>3</v>
      </c>
      <c r="X17" s="13" t="s">
        <v>3</v>
      </c>
      <c r="Y17" s="13" t="s">
        <v>3</v>
      </c>
      <c r="Z17" s="13" t="s">
        <v>4</v>
      </c>
      <c r="AA17" s="13" t="s">
        <v>3</v>
      </c>
      <c r="AB17" s="13" t="s">
        <v>4</v>
      </c>
      <c r="AC17" s="13" t="s">
        <v>4</v>
      </c>
      <c r="AD17" s="13" t="s">
        <v>3</v>
      </c>
      <c r="AE17" s="13" t="s">
        <v>3</v>
      </c>
      <c r="AF17" s="13" t="s">
        <v>3</v>
      </c>
      <c r="AG17" s="13" t="s">
        <v>3</v>
      </c>
      <c r="AH17" s="13" t="s">
        <v>3</v>
      </c>
      <c r="AI17" s="13" t="s">
        <v>3</v>
      </c>
      <c r="AJ17" s="13" t="s">
        <v>3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14">
        <f t="shared" si="0"/>
        <v>21</v>
      </c>
      <c r="BF17" s="14">
        <f t="shared" si="1"/>
        <v>13</v>
      </c>
      <c r="BG17" s="14">
        <f t="shared" si="2"/>
        <v>1</v>
      </c>
      <c r="BH17" s="15">
        <f t="shared" si="3"/>
        <v>0.62857142857142856</v>
      </c>
    </row>
    <row r="18" spans="1:60" ht="24" customHeight="1" x14ac:dyDescent="0.35">
      <c r="A18" s="6" t="s">
        <v>16</v>
      </c>
      <c r="B18" s="16">
        <f>COUNTIF(B5:B17,"Aplica")</f>
        <v>1</v>
      </c>
      <c r="C18" s="16">
        <f t="shared" ref="C18:BG18" si="4">COUNTIF(C5:C17,"Aplica")</f>
        <v>0</v>
      </c>
      <c r="D18" s="16">
        <f t="shared" si="4"/>
        <v>0</v>
      </c>
      <c r="E18" s="16">
        <f t="shared" si="4"/>
        <v>0</v>
      </c>
      <c r="F18" s="16">
        <f t="shared" si="4"/>
        <v>0</v>
      </c>
      <c r="G18" s="16">
        <f t="shared" si="4"/>
        <v>13</v>
      </c>
      <c r="H18" s="16">
        <f t="shared" si="4"/>
        <v>7</v>
      </c>
      <c r="I18" s="16">
        <f t="shared" si="4"/>
        <v>0</v>
      </c>
      <c r="J18" s="16">
        <f t="shared" si="4"/>
        <v>1</v>
      </c>
      <c r="K18" s="16">
        <f t="shared" si="4"/>
        <v>6</v>
      </c>
      <c r="L18" s="16">
        <f t="shared" si="4"/>
        <v>13</v>
      </c>
      <c r="M18" s="16">
        <f t="shared" si="4"/>
        <v>0</v>
      </c>
      <c r="N18" s="16">
        <f t="shared" si="4"/>
        <v>12</v>
      </c>
      <c r="O18" s="16">
        <f t="shared" si="4"/>
        <v>12</v>
      </c>
      <c r="P18" s="16">
        <f t="shared" si="4"/>
        <v>5</v>
      </c>
      <c r="Q18" s="16">
        <f t="shared" si="4"/>
        <v>8</v>
      </c>
      <c r="R18" s="16">
        <f t="shared" si="4"/>
        <v>5</v>
      </c>
      <c r="S18" s="16">
        <f t="shared" si="4"/>
        <v>13</v>
      </c>
      <c r="T18" s="16">
        <f t="shared" si="4"/>
        <v>12</v>
      </c>
      <c r="U18" s="16">
        <f t="shared" si="4"/>
        <v>13</v>
      </c>
      <c r="V18" s="16">
        <f t="shared" si="4"/>
        <v>13</v>
      </c>
      <c r="W18" s="16">
        <f t="shared" si="4"/>
        <v>13</v>
      </c>
      <c r="X18" s="16">
        <f t="shared" si="4"/>
        <v>13</v>
      </c>
      <c r="Y18" s="16">
        <f t="shared" si="4"/>
        <v>13</v>
      </c>
      <c r="Z18" s="16">
        <f t="shared" si="4"/>
        <v>6</v>
      </c>
      <c r="AA18" s="16">
        <f t="shared" si="4"/>
        <v>13</v>
      </c>
      <c r="AB18" s="16">
        <f t="shared" si="4"/>
        <v>1</v>
      </c>
      <c r="AC18" s="16">
        <f t="shared" si="4"/>
        <v>1</v>
      </c>
      <c r="AD18" s="16">
        <f t="shared" si="4"/>
        <v>13</v>
      </c>
      <c r="AE18" s="16">
        <f t="shared" si="4"/>
        <v>13</v>
      </c>
      <c r="AF18" s="16">
        <f t="shared" si="4"/>
        <v>13</v>
      </c>
      <c r="AG18" s="16">
        <f t="shared" si="4"/>
        <v>13</v>
      </c>
      <c r="AH18" s="16">
        <f t="shared" si="4"/>
        <v>13</v>
      </c>
      <c r="AI18" s="16">
        <f t="shared" si="4"/>
        <v>13</v>
      </c>
      <c r="AJ18" s="16">
        <f t="shared" si="4"/>
        <v>13</v>
      </c>
      <c r="AK18" s="16">
        <f t="shared" si="4"/>
        <v>0</v>
      </c>
      <c r="AL18" s="16">
        <f t="shared" si="4"/>
        <v>0</v>
      </c>
      <c r="AM18" s="16">
        <f t="shared" si="4"/>
        <v>0</v>
      </c>
      <c r="AN18" s="16">
        <f t="shared" si="4"/>
        <v>0</v>
      </c>
      <c r="AO18" s="16">
        <f t="shared" si="4"/>
        <v>0</v>
      </c>
      <c r="AP18" s="16">
        <f t="shared" si="4"/>
        <v>0</v>
      </c>
      <c r="AQ18" s="16">
        <f t="shared" si="4"/>
        <v>0</v>
      </c>
      <c r="AR18" s="16">
        <f t="shared" si="4"/>
        <v>0</v>
      </c>
      <c r="AS18" s="16">
        <f t="shared" si="4"/>
        <v>0</v>
      </c>
      <c r="AT18" s="16">
        <f t="shared" si="4"/>
        <v>0</v>
      </c>
      <c r="AU18" s="16">
        <f t="shared" si="4"/>
        <v>0</v>
      </c>
      <c r="AV18" s="16">
        <f t="shared" si="4"/>
        <v>0</v>
      </c>
      <c r="AW18" s="16">
        <f t="shared" si="4"/>
        <v>0</v>
      </c>
      <c r="AX18" s="16">
        <f t="shared" si="4"/>
        <v>0</v>
      </c>
      <c r="AY18" s="16">
        <f t="shared" si="4"/>
        <v>0</v>
      </c>
      <c r="AZ18" s="16">
        <f t="shared" si="4"/>
        <v>0</v>
      </c>
      <c r="BA18" s="16">
        <f t="shared" si="4"/>
        <v>0</v>
      </c>
      <c r="BB18" s="16">
        <f t="shared" si="4"/>
        <v>0</v>
      </c>
      <c r="BC18" s="16">
        <f t="shared" si="4"/>
        <v>0</v>
      </c>
      <c r="BD18" s="16">
        <f t="shared" si="4"/>
        <v>0</v>
      </c>
      <c r="BE18" s="16">
        <f t="shared" si="4"/>
        <v>0</v>
      </c>
      <c r="BF18" s="16">
        <f t="shared" si="4"/>
        <v>0</v>
      </c>
      <c r="BG18" s="16">
        <f t="shared" si="4"/>
        <v>0</v>
      </c>
      <c r="BH18" s="17">
        <f>IFERROR(AVERAGE(BH5:BH17),0)</f>
        <v>0.65306122448979587</v>
      </c>
    </row>
    <row r="20" spans="1:60" x14ac:dyDescent="0.35">
      <c r="A20" s="18" t="s">
        <v>17</v>
      </c>
    </row>
    <row r="21" spans="1:60" x14ac:dyDescent="0.35">
      <c r="A21" s="19" t="s">
        <v>3</v>
      </c>
      <c r="B21" s="20" t="s">
        <v>18</v>
      </c>
    </row>
    <row r="22" spans="1:60" x14ac:dyDescent="0.35">
      <c r="A22" s="21" t="s">
        <v>4</v>
      </c>
      <c r="B22" s="20" t="s">
        <v>19</v>
      </c>
    </row>
    <row r="23" spans="1:60" x14ac:dyDescent="0.35">
      <c r="A23" s="13" t="s">
        <v>5</v>
      </c>
      <c r="B23" s="20" t="s">
        <v>20</v>
      </c>
    </row>
    <row r="24" spans="1:60" x14ac:dyDescent="0.35">
      <c r="A24" s="13"/>
    </row>
    <row r="25" spans="1:60" x14ac:dyDescent="0.35">
      <c r="A25" s="18" t="s">
        <v>21</v>
      </c>
    </row>
    <row r="26" spans="1:60" x14ac:dyDescent="0.35">
      <c r="A26" s="22" t="s">
        <v>22</v>
      </c>
    </row>
    <row r="27" spans="1:60" x14ac:dyDescent="0.35">
      <c r="A27" s="22" t="s">
        <v>23</v>
      </c>
    </row>
    <row r="28" spans="1:60" x14ac:dyDescent="0.35">
      <c r="A28" s="22" t="s">
        <v>24</v>
      </c>
    </row>
    <row r="29" spans="1:60" x14ac:dyDescent="0.35">
      <c r="A29" s="22" t="s">
        <v>25</v>
      </c>
    </row>
    <row r="30" spans="1:60" x14ac:dyDescent="0.35">
      <c r="A30" s="22" t="s">
        <v>26</v>
      </c>
    </row>
  </sheetData>
  <sheetProtection sort="0" autoFilter="0"/>
  <autoFilter ref="A4:BH18" xr:uid="{00000000-0009-0000-0000-000000000000}"/>
  <mergeCells count="2">
    <mergeCell ref="A1:BH1"/>
    <mergeCell ref="A2:BH2"/>
  </mergeCells>
  <phoneticPr fontId="15" type="noConversion"/>
  <conditionalFormatting sqref="A23:A24">
    <cfRule type="cellIs" dxfId="9" priority="2" operator="equal">
      <formula>"Onboarding"</formula>
    </cfRule>
    <cfRule type="cellIs" dxfId="8" priority="3" operator="equal">
      <formula>"Aplica"</formula>
    </cfRule>
    <cfRule type="cellIs" dxfId="7" priority="4" operator="equal">
      <formula>"Não Aplica"</formula>
    </cfRule>
    <cfRule type="cellIs" dxfId="6" priority="5" operator="equal">
      <formula>"Onboarding"</formula>
    </cfRule>
  </conditionalFormatting>
  <conditionalFormatting sqref="A1:XFD1048576">
    <cfRule type="cellIs" dxfId="5" priority="1" operator="equal">
      <formula>"Onboarding"</formula>
    </cfRule>
  </conditionalFormatting>
  <conditionalFormatting sqref="B5:C6">
    <cfRule type="cellIs" dxfId="4" priority="11" operator="equal">
      <formula>"Onboarding"</formula>
    </cfRule>
  </conditionalFormatting>
  <conditionalFormatting sqref="B5:BD17">
    <cfRule type="cellIs" dxfId="3" priority="13" operator="equal">
      <formula>"Aplica"</formula>
    </cfRule>
    <cfRule type="cellIs" dxfId="2" priority="14" operator="equal">
      <formula>"Não Aplica"</formula>
    </cfRule>
    <cfRule type="cellIs" dxfId="1" priority="15" operator="equal">
      <formula>"Onboarding"</formula>
    </cfRule>
  </conditionalFormatting>
  <conditionalFormatting sqref="C11">
    <cfRule type="cellIs" dxfId="0" priority="10" operator="equal">
      <formula>"Onboarding"</formula>
    </cfRule>
  </conditionalFormatting>
  <pageMargins left="0.25" right="0.25" top="0.75" bottom="0.75" header="0.3" footer="0.3"/>
  <pageSetup paperSize="9" scale="37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Status inválido" error="Selecione um dos status: Aplica, Não Aplica ou Onboarding." promptTitle="Status do treinamento" prompt="Escolha: Aplica · Não Aplica · Onboarding" xr:uid="{00000000-0002-0000-0000-000000000000}">
          <x14:formula1>
            <xm:f>Listas!$A$2:$A$4</xm:f>
          </x14:formula1>
          <x14:formula2>
            <xm:f>0</xm:f>
          </x14:formula2>
          <xm:sqref>B5:BD17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zoomScaleNormal="100" workbookViewId="0"/>
  </sheetViews>
  <sheetFormatPr defaultColWidth="8.7265625" defaultRowHeight="14.5" x14ac:dyDescent="0.35"/>
  <cols>
    <col min="1" max="1" width="18" customWidth="1"/>
  </cols>
  <sheetData>
    <row r="1" spans="1:3" x14ac:dyDescent="0.35">
      <c r="A1" s="1" t="s">
        <v>27</v>
      </c>
      <c r="C1" s="2" t="s">
        <v>28</v>
      </c>
    </row>
    <row r="2" spans="1:3" x14ac:dyDescent="0.35">
      <c r="A2" s="3" t="s">
        <v>3</v>
      </c>
    </row>
    <row r="3" spans="1:3" x14ac:dyDescent="0.35">
      <c r="A3" s="3" t="s">
        <v>4</v>
      </c>
    </row>
    <row r="4" spans="1:3" x14ac:dyDescent="0.35">
      <c r="A4" s="3" t="s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ABB98"/>
  </sheetPr>
  <dimension ref="A1:E26"/>
  <sheetViews>
    <sheetView showGridLines="0" zoomScaleNormal="100" workbookViewId="0">
      <pane ySplit="3" topLeftCell="A18" activePane="bottomLeft" state="frozen"/>
      <selection pane="bottomLeft" sqref="A1:E26"/>
    </sheetView>
  </sheetViews>
  <sheetFormatPr defaultColWidth="8.7265625" defaultRowHeight="14.5" x14ac:dyDescent="0.35"/>
  <cols>
    <col min="1" max="1" width="82.453125" customWidth="1"/>
    <col min="2" max="5" width="14" customWidth="1"/>
  </cols>
  <sheetData>
    <row r="1" spans="1:5" ht="27.75" customHeight="1" x14ac:dyDescent="0.35">
      <c r="A1" s="29" t="s">
        <v>29</v>
      </c>
      <c r="B1" s="29"/>
      <c r="C1" s="29"/>
      <c r="D1" s="29"/>
      <c r="E1" s="29"/>
    </row>
    <row r="3" spans="1:5" ht="31.5" customHeight="1" x14ac:dyDescent="0.35">
      <c r="A3" s="8" t="s">
        <v>30</v>
      </c>
      <c r="B3" s="8" t="s">
        <v>3</v>
      </c>
      <c r="C3" s="8" t="s">
        <v>4</v>
      </c>
      <c r="D3" s="8" t="s">
        <v>5</v>
      </c>
      <c r="E3" s="8" t="s">
        <v>31</v>
      </c>
    </row>
    <row r="4" spans="1:5" ht="19.5" customHeight="1" x14ac:dyDescent="0.35">
      <c r="A4" s="23" t="str">
        <f>'Matriz de Treinamentos'!B$4</f>
        <v>NR 10 Segurança em Instalações Elétricas</v>
      </c>
      <c r="B4" s="24">
        <f>COUNTIF('Matriz de Treinamentos'!B$5:B$17,"Aplica")</f>
        <v>1</v>
      </c>
      <c r="C4" s="24">
        <f>COUNTIF('Matriz de Treinamentos'!B$5:B$17,"Não Aplica")</f>
        <v>12</v>
      </c>
      <c r="D4" s="24">
        <f>COUNTIF('Matriz de Treinamentos'!B$5:B$17,"Onboarding")</f>
        <v>0</v>
      </c>
      <c r="E4" s="25">
        <f t="shared" ref="E4:E23" si="0">IFERROR((B4+D4)/9,0)</f>
        <v>0.1111111111111111</v>
      </c>
    </row>
    <row r="5" spans="1:5" ht="19.5" customHeight="1" x14ac:dyDescent="0.35">
      <c r="A5" s="26" t="str">
        <f>'Matriz de Treinamentos'!E$4</f>
        <v>NR 35 Trabalho em Altura</v>
      </c>
      <c r="B5" s="27">
        <f>COUNTIF('Matriz de Treinamentos'!E$5:E$17,"Aplica")</f>
        <v>0</v>
      </c>
      <c r="C5" s="27">
        <f>COUNTIF('Matriz de Treinamentos'!E$5:E$17,"Não Aplica")</f>
        <v>13</v>
      </c>
      <c r="D5" s="27">
        <f>COUNTIF('Matriz de Treinamentos'!E$5:E$17,"Onboarding")</f>
        <v>0</v>
      </c>
      <c r="E5" s="28">
        <f t="shared" si="0"/>
        <v>0</v>
      </c>
    </row>
    <row r="6" spans="1:5" ht="19.5" customHeight="1" x14ac:dyDescent="0.35">
      <c r="A6" s="23" t="str">
        <f>'Matriz de Treinamentos'!F$4</f>
        <v>RAC 01 - Trabalho em  Altura</v>
      </c>
      <c r="B6" s="24">
        <f>COUNTIF('Matriz de Treinamentos'!F$5:F$17,"Aplica")</f>
        <v>0</v>
      </c>
      <c r="C6" s="24">
        <f>COUNTIF('Matriz de Treinamentos'!F$5:F$17,"Não Aplica")</f>
        <v>13</v>
      </c>
      <c r="D6" s="24">
        <f>COUNTIF('Matriz de Treinamentos'!F$5:F$17,"Onboarding")</f>
        <v>0</v>
      </c>
      <c r="E6" s="25">
        <f t="shared" si="0"/>
        <v>0</v>
      </c>
    </row>
    <row r="7" spans="1:5" ht="19.5" customHeight="1" x14ac:dyDescent="0.35">
      <c r="A7" s="26" t="str">
        <f>'Matriz de Treinamentos'!H$4</f>
        <v>RAC 04 - Bloqueio e Etiquetagem</v>
      </c>
      <c r="B7" s="27">
        <f>COUNTIF('Matriz de Treinamentos'!H$5:H$17,"Aplica")</f>
        <v>7</v>
      </c>
      <c r="C7" s="27">
        <f>COUNTIF('Matriz de Treinamentos'!H$5:H$17,"Não Aplica")</f>
        <v>6</v>
      </c>
      <c r="D7" s="27">
        <f>COUNTIF('Matriz de Treinamentos'!H$5:H$17,"Onboarding")</f>
        <v>0</v>
      </c>
      <c r="E7" s="28">
        <f t="shared" si="0"/>
        <v>0.77777777777777779</v>
      </c>
    </row>
    <row r="8" spans="1:5" ht="19.5" customHeight="1" x14ac:dyDescent="0.35">
      <c r="A8" s="23" t="str">
        <f>'Matriz de Treinamentos'!I$4</f>
        <v>RAC 07 Proteção de Máquinas</v>
      </c>
      <c r="B8" s="24">
        <f>COUNTIF('Matriz de Treinamentos'!I$5:I$17,"Aplica")</f>
        <v>0</v>
      </c>
      <c r="C8" s="24">
        <f>COUNTIF('Matriz de Treinamentos'!I$5:I$17,"Não Aplica")</f>
        <v>13</v>
      </c>
      <c r="D8" s="24">
        <f>COUNTIF('Matriz de Treinamentos'!I$5:I$17,"Onboarding")</f>
        <v>0</v>
      </c>
      <c r="E8" s="25">
        <f t="shared" si="0"/>
        <v>0</v>
      </c>
    </row>
    <row r="9" spans="1:5" ht="19.5" customHeight="1" x14ac:dyDescent="0.35">
      <c r="A9" s="26" t="str">
        <f>'Matriz de Treinamentos'!J$4</f>
        <v>RAC 10 Trabalho em  Eletricidade</v>
      </c>
      <c r="B9" s="27">
        <f>COUNTIF('Matriz de Treinamentos'!J$5:J$17,"Aplica")</f>
        <v>1</v>
      </c>
      <c r="C9" s="27">
        <f>COUNTIF('Matriz de Treinamentos'!J$5:J$17,"Não Aplica")</f>
        <v>12</v>
      </c>
      <c r="D9" s="27">
        <f>COUNTIF('Matriz de Treinamentos'!J$5:J$17,"Onboarding")</f>
        <v>0</v>
      </c>
      <c r="E9" s="28">
        <f t="shared" si="0"/>
        <v>0.1111111111111111</v>
      </c>
    </row>
    <row r="10" spans="1:5" ht="19.5" customHeight="1" x14ac:dyDescent="0.35">
      <c r="A10" s="23" t="str">
        <f>'Matriz de Treinamentos'!K$4</f>
        <v>PRO 040866 - Procedimento Unificado Vale Brasil para Trabalho em Altura</v>
      </c>
      <c r="B10" s="24">
        <f>COUNTIF('Matriz de Treinamentos'!K$5:K$17,"Aplica")</f>
        <v>6</v>
      </c>
      <c r="C10" s="24">
        <f>COUNTIF('Matriz de Treinamentos'!K$5:K$17,"Não Aplica")</f>
        <v>7</v>
      </c>
      <c r="D10" s="24">
        <f>COUNTIF('Matriz de Treinamentos'!K$5:K$17,"Onboarding")</f>
        <v>0</v>
      </c>
      <c r="E10" s="25">
        <f t="shared" si="0"/>
        <v>0.66666666666666663</v>
      </c>
    </row>
    <row r="11" spans="1:5" ht="19.5" customHeight="1" x14ac:dyDescent="0.35">
      <c r="A11" s="26" t="str">
        <f>'Matriz de Treinamentos'!L$4</f>
        <v>PRO-039864 – Plano de trânsito Unificado Vale Brasil para Condução de veículo</v>
      </c>
      <c r="B11" s="27">
        <f>COUNTIF('Matriz de Treinamentos'!L$5:L$17,"Aplica")</f>
        <v>13</v>
      </c>
      <c r="C11" s="27">
        <f>COUNTIF('Matriz de Treinamentos'!L$5:L$17,"Não Aplica")</f>
        <v>0</v>
      </c>
      <c r="D11" s="27">
        <f>COUNTIF('Matriz de Treinamentos'!L$5:L$17,"Onboarding")</f>
        <v>0</v>
      </c>
      <c r="E11" s="28">
        <f t="shared" si="0"/>
        <v>1.4444444444444444</v>
      </c>
    </row>
    <row r="12" spans="1:5" ht="19.5" customHeight="1" x14ac:dyDescent="0.35">
      <c r="A12" s="23" t="str">
        <f>'Matriz de Treinamentos'!M$4</f>
        <v>PRO-040169 – Procedimento Unificado Vale Brasil para Equipamentos Móveis</v>
      </c>
      <c r="B12" s="24">
        <f>COUNTIF('Matriz de Treinamentos'!M$5:M$17,"Aplica")</f>
        <v>0</v>
      </c>
      <c r="C12" s="24">
        <f>COUNTIF('Matriz de Treinamentos'!M$5:M$17,"Não Aplica")</f>
        <v>13</v>
      </c>
      <c r="D12" s="24">
        <f>COUNTIF('Matriz de Treinamentos'!M$5:M$17,"Onboarding")</f>
        <v>0</v>
      </c>
      <c r="E12" s="25">
        <f t="shared" si="0"/>
        <v>0</v>
      </c>
    </row>
    <row r="13" spans="1:5" ht="19.5" customHeight="1" x14ac:dyDescent="0.35">
      <c r="A13" s="26" t="str">
        <f>'Matriz de Treinamentos'!N$4</f>
        <v>PRO-040948 – Procedimento Unificado Vale Brasil para Bloqueio</v>
      </c>
      <c r="B13" s="27">
        <f>COUNTIF('Matriz de Treinamentos'!N$5:N$17,"Aplica")</f>
        <v>12</v>
      </c>
      <c r="C13" s="27">
        <f>COUNTIF('Matriz de Treinamentos'!N$5:N$17,"Não Aplica")</f>
        <v>1</v>
      </c>
      <c r="D13" s="27">
        <f>COUNTIF('Matriz de Treinamentos'!N$5:N$17,"Onboarding")</f>
        <v>0</v>
      </c>
      <c r="E13" s="28">
        <f t="shared" si="0"/>
        <v>1.3333333333333333</v>
      </c>
    </row>
    <row r="14" spans="1:5" ht="19.5" customHeight="1" x14ac:dyDescent="0.35">
      <c r="A14" s="23" t="str">
        <f>'Matriz de Treinamentos'!O$4</f>
        <v>PRO-041860 – Procedimento Unificado para proteção de máquinas</v>
      </c>
      <c r="B14" s="24">
        <f>COUNTIF('Matriz de Treinamentos'!O$5:O$17,"Aplica")</f>
        <v>12</v>
      </c>
      <c r="C14" s="24">
        <f>COUNTIF('Matriz de Treinamentos'!O$5:O$17,"Não Aplica")</f>
        <v>1</v>
      </c>
      <c r="D14" s="24">
        <f>COUNTIF('Matriz de Treinamentos'!O$5:O$17,"Onboarding")</f>
        <v>0</v>
      </c>
      <c r="E14" s="25">
        <f t="shared" si="0"/>
        <v>1.3333333333333333</v>
      </c>
    </row>
    <row r="15" spans="1:5" ht="19.5" customHeight="1" x14ac:dyDescent="0.35">
      <c r="A15" s="26" t="str">
        <f>'Matriz de Treinamentos'!P$4</f>
        <v>PRO-030499 – Atividades no Terreno</v>
      </c>
      <c r="B15" s="27">
        <f>COUNTIF('Matriz de Treinamentos'!P$5:P$17,"Aplica")</f>
        <v>5</v>
      </c>
      <c r="C15" s="27">
        <f>COUNTIF('Matriz de Treinamentos'!P$5:P$17,"Não Aplica")</f>
        <v>8</v>
      </c>
      <c r="D15" s="27">
        <f>COUNTIF('Matriz de Treinamentos'!P$5:P$17,"Onboarding")</f>
        <v>0</v>
      </c>
      <c r="E15" s="28">
        <f t="shared" si="0"/>
        <v>0.55555555555555558</v>
      </c>
    </row>
    <row r="16" spans="1:5" ht="19.5" customHeight="1" x14ac:dyDescent="0.35">
      <c r="A16" s="23" t="str">
        <f>'Matriz de Treinamentos'!Q$4</f>
        <v>PRO-041951 – Procedimento integrado para trabalhos em eletricidade</v>
      </c>
      <c r="B16" s="24">
        <f>COUNTIF('Matriz de Treinamentos'!Q$5:Q$17,"Aplica")</f>
        <v>8</v>
      </c>
      <c r="C16" s="24">
        <f>COUNTIF('Matriz de Treinamentos'!Q$5:Q$17,"Não Aplica")</f>
        <v>5</v>
      </c>
      <c r="D16" s="24">
        <f>COUNTIF('Matriz de Treinamentos'!Q$5:Q$17,"Onboarding")</f>
        <v>0</v>
      </c>
      <c r="E16" s="25">
        <f t="shared" si="0"/>
        <v>0.88888888888888884</v>
      </c>
    </row>
    <row r="17" spans="1:5" ht="19.5" customHeight="1" x14ac:dyDescent="0.35">
      <c r="A17" s="26" t="str">
        <f>'Matriz de Treinamentos'!R$4</f>
        <v>PRO-049629 – Procedimento unificado de trabalho a quente</v>
      </c>
      <c r="B17" s="27">
        <f>COUNTIF('Matriz de Treinamentos'!R$5:R$17,"Aplica")</f>
        <v>5</v>
      </c>
      <c r="C17" s="27">
        <f>COUNTIF('Matriz de Treinamentos'!R$5:R$17,"Não Aplica")</f>
        <v>8</v>
      </c>
      <c r="D17" s="27">
        <f>COUNTIF('Matriz de Treinamentos'!R$5:R$17,"Onboarding")</f>
        <v>0</v>
      </c>
      <c r="E17" s="28">
        <f t="shared" si="0"/>
        <v>0.55555555555555558</v>
      </c>
    </row>
    <row r="18" spans="1:5" ht="19.5" customHeight="1" x14ac:dyDescent="0.35">
      <c r="A18" s="23" t="str">
        <f>'Matriz de Treinamentos'!S$4</f>
        <v>PNR 000031: Diretrizes para Permissão de Trabalho Seguro</v>
      </c>
      <c r="B18" s="24">
        <f>COUNTIF('Matriz de Treinamentos'!S$5:S$17,"Aplica")</f>
        <v>13</v>
      </c>
      <c r="C18" s="24">
        <f>COUNTIF('Matriz de Treinamentos'!S$5:S$17,"Não Aplica")</f>
        <v>0</v>
      </c>
      <c r="D18" s="24">
        <f>COUNTIF('Matriz de Treinamentos'!S$5:S$17,"Onboarding")</f>
        <v>0</v>
      </c>
      <c r="E18" s="25">
        <f t="shared" si="0"/>
        <v>1.4444444444444444</v>
      </c>
    </row>
    <row r="19" spans="1:5" ht="19.5" customHeight="1" x14ac:dyDescent="0.35">
      <c r="A19" s="26" t="str">
        <f>'Matriz de Treinamentos'!T$4</f>
        <v>PNR -000067 Gerenciamento de SSMA para Contratadas</v>
      </c>
      <c r="B19" s="27">
        <f>COUNTIF('Matriz de Treinamentos'!T$5:T$17,"Aplica")</f>
        <v>12</v>
      </c>
      <c r="C19" s="27">
        <f>COUNTIF('Matriz de Treinamentos'!T$5:T$17,"Não Aplica")</f>
        <v>1</v>
      </c>
      <c r="D19" s="27">
        <f>COUNTIF('Matriz de Treinamentos'!T$5:T$17,"Onboarding")</f>
        <v>0</v>
      </c>
      <c r="E19" s="28">
        <f t="shared" si="0"/>
        <v>1.3333333333333333</v>
      </c>
    </row>
    <row r="20" spans="1:5" ht="19.5" customHeight="1" x14ac:dyDescent="0.35">
      <c r="A20" s="23" t="str">
        <f>'Matriz de Treinamentos'!U$4</f>
        <v>PNR-000068 Diretrizes para Análise de Risco da Tarefa</v>
      </c>
      <c r="B20" s="24">
        <f>COUNTIF('Matriz de Treinamentos'!U$5:U$17,"Aplica")</f>
        <v>13</v>
      </c>
      <c r="C20" s="24">
        <f>COUNTIF('Matriz de Treinamentos'!U$5:U$17,"Não Aplica")</f>
        <v>0</v>
      </c>
      <c r="D20" s="24">
        <f>COUNTIF('Matriz de Treinamentos'!U$5:U$17,"Onboarding")</f>
        <v>0</v>
      </c>
      <c r="E20" s="25">
        <f t="shared" si="0"/>
        <v>1.4444444444444444</v>
      </c>
    </row>
    <row r="21" spans="1:5" ht="19.5" customHeight="1" x14ac:dyDescent="0.35">
      <c r="A21" s="26" t="str">
        <f>'Matriz de Treinamentos'!V$4</f>
        <v>PNR-000069 Requisito de tividades Críticas</v>
      </c>
      <c r="B21" s="27">
        <f>COUNTIF('Matriz de Treinamentos'!V$5:V$17,"Aplica")</f>
        <v>13</v>
      </c>
      <c r="C21" s="27">
        <f>COUNTIF('Matriz de Treinamentos'!V$5:V$17,"Não Aplica")</f>
        <v>0</v>
      </c>
      <c r="D21" s="27">
        <f>COUNTIF('Matriz de Treinamentos'!V$5:V$17,"Onboarding")</f>
        <v>0</v>
      </c>
      <c r="E21" s="28">
        <f t="shared" si="0"/>
        <v>1.4444444444444444</v>
      </c>
    </row>
    <row r="22" spans="1:5" ht="19.5" customHeight="1" x14ac:dyDescent="0.35">
      <c r="A22" s="23" t="str">
        <f>'Matriz de Treinamentos'!W$4</f>
        <v>PNR-000070 - Gerenciamento de eventos de SSMAC</v>
      </c>
      <c r="B22" s="24">
        <f>COUNTIF('Matriz de Treinamentos'!W$5:W$17,"Aplica")</f>
        <v>13</v>
      </c>
      <c r="C22" s="24">
        <f>COUNTIF('Matriz de Treinamentos'!W$5:W$17,"Não Aplica")</f>
        <v>0</v>
      </c>
      <c r="D22" s="24">
        <f>COUNTIF('Matriz de Treinamentos'!W$5:W$17,"Onboarding")</f>
        <v>0</v>
      </c>
      <c r="E22" s="25">
        <f t="shared" si="0"/>
        <v>1.4444444444444444</v>
      </c>
    </row>
    <row r="23" spans="1:5" ht="19.5" customHeight="1" x14ac:dyDescent="0.35">
      <c r="A23" s="26">
        <f>'Matriz de Treinamentos'!BD$4</f>
        <v>0</v>
      </c>
      <c r="B23" s="27">
        <f>COUNTIF('Matriz de Treinamentos'!BD$5:BD$17,"Aplica")</f>
        <v>0</v>
      </c>
      <c r="C23" s="27">
        <f>COUNTIF('Matriz de Treinamentos'!BD$5:BD$17,"Não Aplica")</f>
        <v>0</v>
      </c>
      <c r="D23" s="27">
        <f>COUNTIF('Matriz de Treinamentos'!BD$5:BD$17,"Onboarding")</f>
        <v>0</v>
      </c>
      <c r="E23" s="28">
        <f t="shared" si="0"/>
        <v>0</v>
      </c>
    </row>
    <row r="24" spans="1:5" x14ac:dyDescent="0.35">
      <c r="A24" s="6" t="s">
        <v>32</v>
      </c>
      <c r="B24" s="16">
        <f>SUM(B4:B23)</f>
        <v>134</v>
      </c>
      <c r="C24" s="16">
        <f>SUM(C4:C23)</f>
        <v>113</v>
      </c>
      <c r="D24" s="16">
        <f>SUM(D4:D23)</f>
        <v>0</v>
      </c>
      <c r="E24" s="17">
        <f>IFERROR(AVERAGE(E4:E23),0)</f>
        <v>0.74444444444444446</v>
      </c>
    </row>
    <row r="26" spans="1:5" x14ac:dyDescent="0.35">
      <c r="A26" s="2" t="s">
        <v>33</v>
      </c>
    </row>
  </sheetData>
  <sheetProtection algorithmName="SHA-512" hashValue="UwUUz8Nh5sVeFWrzuNp0yGp1vdEAYm12RXF5Kww7qkYvU62Pl/mEOvVDoQUMF0+Ms9YX9Hs0WiYqnVDT+Ddwjg==" saltValue="//OnLmB0GZ8ck1lTWVEWhg==" spinCount="100000" sheet="1" objects="1" scenarios="1" sort="0" autoFilter="0"/>
  <autoFilter ref="A3:E23" xr:uid="{00000000-0009-0000-0000-000002000000}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 de Treinamentos</vt:lpstr>
      <vt:lpstr>Listas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Sara Meireles Silva</cp:lastModifiedBy>
  <cp:revision>0</cp:revision>
  <cp:lastPrinted>2026-09-29T16:40:05Z</cp:lastPrinted>
  <dcterms:created xsi:type="dcterms:W3CDTF">2026-08-31T15:55:12Z</dcterms:created>
  <dcterms:modified xsi:type="dcterms:W3CDTF">2026-09-29T16:40:19Z</dcterms:modified>
  <dc:language>en-US</dc:language>
</cp:coreProperties>
</file>